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ey M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<sst xmlns="http://schemas.openxmlformats.org/spreadsheetml/2006/main" count="53" uniqueCount="53">
  <si>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Your Money Map</t>
  </si>
  <si>
    <t xml:space="preserve">Step 1 of the journey: know where you are. Fill the yellow cells with this month's numbers (naira). The example figures are there to show the format: replace them.</t>
  </si>
  <si>
    <t xml:space="preserve">1. Money in (monthly, after deductions)</t>
  </si>
  <si>
    <t xml:space="preserve">Salary / wages (take-home)</t>
  </si>
  <si>
    <t xml:space="preserve">After PAYE tax, pension and other deductions</t>
  </si>
  <si>
    <t xml:space="preserve">Business or side income</t>
  </si>
  <si>
    <t xml:space="preserve">Average of the last 3 months if it changes</t>
  </si>
  <si>
    <t xml:space="preserve">Investment income</t>
  </si>
  <si>
    <t xml:space="preserve">Interest, rent, dividends</t>
  </si>
  <si>
    <t xml:space="preserve">Other income</t>
  </si>
  <si>
    <t xml:space="preserve">Family support, allowances, grants</t>
  </si>
  <si>
    <t xml:space="preserve">Total money in</t>
  </si>
  <si>
    <t xml:space="preserve">2. Money out (monthly)</t>
  </si>
  <si>
    <t xml:space="preserve">Rent / housing</t>
  </si>
  <si>
    <t xml:space="preserve">Food and groceries</t>
  </si>
  <si>
    <t xml:space="preserve">Transport</t>
  </si>
  <si>
    <t xml:space="preserve">Data, airtime, subscriptions</t>
  </si>
  <si>
    <t xml:space="preserve">Family support and giving</t>
  </si>
  <si>
    <t xml:space="preserve">Loan repayments</t>
  </si>
  <si>
    <t xml:space="preserve">Include loan apps and money owed to family</t>
  </si>
  <si>
    <t xml:space="preserve">School fees (monthly share)</t>
  </si>
  <si>
    <t xml:space="preserve">Yearly fees ÷ 12</t>
  </si>
  <si>
    <t xml:space="preserve">Fun, eating out, treats</t>
  </si>
  <si>
    <t xml:space="preserve">Other</t>
  </si>
  <si>
    <t xml:space="preserve">Total money out</t>
  </si>
  <si>
    <t xml:space="preserve">3. Your monthly surplus</t>
  </si>
  <si>
    <t xml:space="preserve">Surplus (money in − money out)</t>
  </si>
  <si>
    <t xml:space="preserve">Positive = you can save this much. Negative = you are spending more than you earn.</t>
  </si>
  <si>
    <t xml:space="preserve">Savings rate</t>
  </si>
  <si>
    <t xml:space="preserve">Aim for at least 20%.</t>
  </si>
  <si>
    <t xml:space="preserve">4. What you own (assets)</t>
  </si>
  <si>
    <t xml:space="preserve">Cash and bank savings</t>
  </si>
  <si>
    <t xml:space="preserve">Investments (T-bills, shares, funds)</t>
  </si>
  <si>
    <t xml:space="preserve">Business stock and equipment</t>
  </si>
  <si>
    <t xml:space="preserve">Land / property (what you paid)</t>
  </si>
  <si>
    <t xml:space="preserve">Use the price you paid, not a hopeful value</t>
  </si>
  <si>
    <t xml:space="preserve">Other valuables you could sell</t>
  </si>
  <si>
    <t xml:space="preserve">Total assets</t>
  </si>
  <si>
    <t xml:space="preserve">5. What you owe (liabilities)</t>
  </si>
  <si>
    <t xml:space="preserve">Bank loans</t>
  </si>
  <si>
    <t xml:space="preserve">Loan apps</t>
  </si>
  <si>
    <t xml:space="preserve">Money owed to family / friends</t>
  </si>
  <si>
    <t xml:space="preserve">Unpaid bills or credit from traders</t>
  </si>
  <si>
    <t xml:space="preserve">Other debts</t>
  </si>
  <si>
    <t xml:space="preserve">Total liabilities</t>
  </si>
  <si>
    <t xml:space="preserve">6. Your net worth</t>
  </si>
  <si>
    <t xml:space="preserve">Net worth (assets − liabilities)</t>
  </si>
  <si>
    <t xml:space="preserve">Your real scoreboard. Update it every 3 months.</t>
  </si>
  <si>
    <t xml:space="preserve">Months your savings would last</t>
  </si>
  <si>
    <t xml:space="preserve">Cash and bank savings ÷ monthly money out. Aim for 3, then 6.</t>
  </si>
  <si>
    <t xml:space="preserve">Aiming for the big bucks.</t>
  </si>
  <si>
    <t xml:space="preserve">Want this to update itself as you spend? Kopkad tracks it for you: app.kopkad.ng</t>
  </si>
  <si>
    <t xml:space="preserve">For educational purposes only. This is not financial advice.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</si>
</sst>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₦#,##0;[RED]&quot;-₦&quot;#,##0;\-"/>
    <numFmt numFmtId="166" formatCode="0.0%"/>
    <numFmt numFmtId="167" formatCode="0.0&quot; months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0302A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4C6A6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D9822B"/>
      <name val="Arial"/>
      <family val="0"/>
      <charset val="1"/>
    </font>
    <font>
      <i val="true"/>
      <sz val="8"/>
      <color rgb="FF4C6A6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0302A"/>
        <bgColor rgb="FF333333"/>
      </patternFill>
    </fill>
    <fill>
      <patternFill patternType="solid">
        <fgColor rgb="FFFFF4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9822B"/>
      <rgbColor rgb="FFFF6600"/>
      <rgbColor rgb="FF4C6A62"/>
      <rgbColor rgb="FF969696"/>
      <rgbColor rgb="FF003366"/>
      <rgbColor rgb="FF339966"/>
      <rgbColor rgb="FF1030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44"/>
  </cols>
  <sheetData>
    <row r="1" customFormat="false" ht="19.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4" customFormat="false" ht="15" hidden="false" customHeight="true" outlineLevel="0" collapsed="false">
      <c r="A4" s="4" t="s">
        <v>2</v>
      </c>
      <c r="B4" s="5"/>
      <c r="C4" s="5"/>
    </row>
    <row r="5" customFormat="false" ht="15" hidden="false" customHeight="true" outlineLevel="0" collapsed="false">
      <c r="A5" s="6" t="s">
        <v>3</v>
      </c>
      <c r="B5" s="7" t="n">
        <v>250000</v>
      </c>
      <c r="C5" s="8" t="s">
        <v>4</v>
      </c>
    </row>
    <row r="6" customFormat="false" ht="15" hidden="false" customHeight="true" outlineLevel="0" collapsed="false">
      <c r="A6" s="6" t="s">
        <v>5</v>
      </c>
      <c r="B6" s="7" t="n">
        <v>40000</v>
      </c>
      <c r="C6" s="8" t="s">
        <v>6</v>
      </c>
    </row>
    <row r="7" customFormat="false" ht="15" hidden="false" customHeight="true" outlineLevel="0" collapsed="false">
      <c r="A7" s="6" t="s">
        <v>7</v>
      </c>
      <c r="B7" s="7" t="n">
        <v>5000</v>
      </c>
      <c r="C7" s="8" t="s">
        <v>8</v>
      </c>
    </row>
    <row r="8" customFormat="false" ht="15" hidden="false" customHeight="true" outlineLevel="0" collapsed="false">
      <c r="A8" s="6" t="s">
        <v>9</v>
      </c>
      <c r="B8" s="7" t="n">
        <v>0</v>
      </c>
      <c r="C8" s="8" t="s">
        <v>10</v>
      </c>
    </row>
    <row r="9" customFormat="false" ht="15" hidden="false" customHeight="true" outlineLevel="0" collapsed="false">
      <c r="A9" s="9" t="s">
        <v>11</v>
      </c>
      <c r="B9" s="10" t="n">
        <f aca="false">SUM(B5:B8)</f>
        <v>295000</v>
      </c>
      <c r="C9" s="8"/>
    </row>
    <row r="11" customFormat="false" ht="15" hidden="false" customHeight="true" outlineLevel="0" collapsed="false">
      <c r="A11" s="4" t="s">
        <v>12</v>
      </c>
      <c r="B11" s="5"/>
      <c r="C11" s="5"/>
    </row>
    <row r="12" customFormat="false" ht="15" hidden="false" customHeight="true" outlineLevel="0" collapsed="false">
      <c r="A12" s="6" t="s">
        <v>13</v>
      </c>
      <c r="B12" s="7" t="n">
        <v>60000</v>
      </c>
      <c r="C12" s="8"/>
    </row>
    <row r="13" customFormat="false" ht="15" hidden="false" customHeight="true" outlineLevel="0" collapsed="false">
      <c r="A13" s="6" t="s">
        <v>14</v>
      </c>
      <c r="B13" s="7" t="n">
        <v>70000</v>
      </c>
      <c r="C13" s="8"/>
    </row>
    <row r="14" customFormat="false" ht="15" hidden="false" customHeight="true" outlineLevel="0" collapsed="false">
      <c r="A14" s="6" t="s">
        <v>15</v>
      </c>
      <c r="B14" s="7" t="n">
        <v>30000</v>
      </c>
      <c r="C14" s="8"/>
    </row>
    <row r="15" customFormat="false" ht="15" hidden="false" customHeight="true" outlineLevel="0" collapsed="false">
      <c r="A15" s="6" t="s">
        <v>16</v>
      </c>
      <c r="B15" s="7" t="n">
        <v>12000</v>
      </c>
      <c r="C15" s="8"/>
    </row>
    <row r="16" customFormat="false" ht="15" hidden="false" customHeight="true" outlineLevel="0" collapsed="false">
      <c r="A16" s="6" t="s">
        <v>17</v>
      </c>
      <c r="B16" s="7" t="n">
        <v>20000</v>
      </c>
      <c r="C16" s="8"/>
    </row>
    <row r="17" customFormat="false" ht="15" hidden="false" customHeight="true" outlineLevel="0" collapsed="false">
      <c r="A17" s="6" t="s">
        <v>18</v>
      </c>
      <c r="B17" s="7" t="n">
        <v>15000</v>
      </c>
      <c r="C17" s="8" t="s">
        <v>19</v>
      </c>
    </row>
    <row r="18" customFormat="false" ht="15" hidden="false" customHeight="true" outlineLevel="0" collapsed="false">
      <c r="A18" s="6" t="s">
        <v>20</v>
      </c>
      <c r="B18" s="7" t="n">
        <v>15000</v>
      </c>
      <c r="C18" s="8" t="s">
        <v>21</v>
      </c>
    </row>
    <row r="19" customFormat="false" ht="15" hidden="false" customHeight="true" outlineLevel="0" collapsed="false">
      <c r="A19" s="6" t="s">
        <v>22</v>
      </c>
      <c r="B19" s="7" t="n">
        <v>15000</v>
      </c>
      <c r="C19" s="8"/>
    </row>
    <row r="20" customFormat="false" ht="15" hidden="false" customHeight="true" outlineLevel="0" collapsed="false">
      <c r="A20" s="6" t="s">
        <v>23</v>
      </c>
      <c r="B20" s="7" t="n">
        <v>10000</v>
      </c>
      <c r="C20" s="8"/>
    </row>
    <row r="21" customFormat="false" ht="15" hidden="false" customHeight="true" outlineLevel="0" collapsed="false">
      <c r="A21" s="9" t="s">
        <v>24</v>
      </c>
      <c r="B21" s="10" t="n">
        <f aca="false">SUM(B12:B20)</f>
        <v>247000</v>
      </c>
      <c r="C21" s="8"/>
    </row>
    <row r="23" customFormat="false" ht="15" hidden="false" customHeight="true" outlineLevel="0" collapsed="false">
      <c r="A23" s="4" t="s">
        <v>25</v>
      </c>
      <c r="B23" s="5"/>
      <c r="C23" s="5"/>
    </row>
    <row r="24" customFormat="false" ht="21.75" hidden="false" customHeight="true" outlineLevel="0" collapsed="false">
      <c r="A24" s="9" t="s">
        <v>26</v>
      </c>
      <c r="B24" s="10" t="n">
        <f aca="false">B9-B21</f>
        <v>48000</v>
      </c>
      <c r="C24" s="8" t="s">
        <v>27</v>
      </c>
    </row>
    <row r="25" customFormat="false" ht="15" hidden="false" customHeight="true" outlineLevel="0" collapsed="false">
      <c r="A25" s="9" t="s">
        <v>28</v>
      </c>
      <c r="B25" s="11" t="n">
        <f aca="false">IF(B9=0,0,B24/B9)</f>
        <v>0.16271186440678</v>
      </c>
      <c r="C25" s="8" t="s">
        <v>29</v>
      </c>
    </row>
    <row r="27" customFormat="false" ht="15" hidden="false" customHeight="true" outlineLevel="0" collapsed="false">
      <c r="A27" s="4" t="s">
        <v>30</v>
      </c>
      <c r="B27" s="5"/>
      <c r="C27" s="5"/>
    </row>
    <row r="28" customFormat="false" ht="15" hidden="false" customHeight="true" outlineLevel="0" collapsed="false">
      <c r="A28" s="6" t="s">
        <v>31</v>
      </c>
      <c r="B28" s="7" t="n">
        <v>180000</v>
      </c>
      <c r="C28" s="8"/>
    </row>
    <row r="29" customFormat="false" ht="15" hidden="false" customHeight="true" outlineLevel="0" collapsed="false">
      <c r="A29" s="6" t="s">
        <v>32</v>
      </c>
      <c r="B29" s="7" t="n">
        <v>0</v>
      </c>
      <c r="C29" s="8"/>
    </row>
    <row r="30" customFormat="false" ht="15" hidden="false" customHeight="true" outlineLevel="0" collapsed="false">
      <c r="A30" s="6" t="s">
        <v>33</v>
      </c>
      <c r="B30" s="7" t="n">
        <v>100000</v>
      </c>
      <c r="C30" s="8"/>
    </row>
    <row r="31" customFormat="false" ht="15" hidden="false" customHeight="true" outlineLevel="0" collapsed="false">
      <c r="A31" s="6" t="s">
        <v>34</v>
      </c>
      <c r="B31" s="7" t="n">
        <v>0</v>
      </c>
      <c r="C31" s="8" t="s">
        <v>35</v>
      </c>
    </row>
    <row r="32" customFormat="false" ht="15" hidden="false" customHeight="true" outlineLevel="0" collapsed="false">
      <c r="A32" s="6" t="s">
        <v>36</v>
      </c>
      <c r="B32" s="7" t="n">
        <v>50000</v>
      </c>
      <c r="C32" s="8"/>
    </row>
    <row r="33" customFormat="false" ht="15" hidden="false" customHeight="true" outlineLevel="0" collapsed="false">
      <c r="A33" s="9" t="s">
        <v>37</v>
      </c>
      <c r="B33" s="10" t="n">
        <f aca="false">SUM(B28:B32)</f>
        <v>330000</v>
      </c>
      <c r="C33" s="8"/>
    </row>
    <row r="35" customFormat="false" ht="15" hidden="false" customHeight="true" outlineLevel="0" collapsed="false">
      <c r="A35" s="4" t="s">
        <v>38</v>
      </c>
      <c r="B35" s="5"/>
      <c r="C35" s="5"/>
    </row>
    <row r="36" customFormat="false" ht="15" hidden="false" customHeight="true" outlineLevel="0" collapsed="false">
      <c r="A36" s="6" t="s">
        <v>39</v>
      </c>
      <c r="B36" s="7" t="n">
        <v>0</v>
      </c>
      <c r="C36" s="8"/>
    </row>
    <row r="37" customFormat="false" ht="15" hidden="false" customHeight="true" outlineLevel="0" collapsed="false">
      <c r="A37" s="6" t="s">
        <v>40</v>
      </c>
      <c r="B37" s="7" t="n">
        <v>45000</v>
      </c>
      <c r="C37" s="8"/>
    </row>
    <row r="38" customFormat="false" ht="15" hidden="false" customHeight="true" outlineLevel="0" collapsed="false">
      <c r="A38" s="6" t="s">
        <v>41</v>
      </c>
      <c r="B38" s="7" t="n">
        <v>30000</v>
      </c>
      <c r="C38" s="8"/>
    </row>
    <row r="39" customFormat="false" ht="15" hidden="false" customHeight="true" outlineLevel="0" collapsed="false">
      <c r="A39" s="6" t="s">
        <v>42</v>
      </c>
      <c r="B39" s="7" t="n">
        <v>0</v>
      </c>
      <c r="C39" s="8"/>
    </row>
    <row r="40" customFormat="false" ht="15" hidden="false" customHeight="true" outlineLevel="0" collapsed="false">
      <c r="A40" s="6" t="s">
        <v>43</v>
      </c>
      <c r="B40" s="7" t="n">
        <v>0</v>
      </c>
      <c r="C40" s="8"/>
    </row>
    <row r="41" customFormat="false" ht="15" hidden="false" customHeight="true" outlineLevel="0" collapsed="false">
      <c r="A41" s="9" t="s">
        <v>44</v>
      </c>
      <c r="B41" s="10" t="n">
        <f aca="false">SUM(B36:B40)</f>
        <v>75000</v>
      </c>
      <c r="C41" s="8"/>
    </row>
    <row r="43" customFormat="false" ht="15" hidden="false" customHeight="true" outlineLevel="0" collapsed="false">
      <c r="A43" s="4" t="s">
        <v>45</v>
      </c>
      <c r="B43" s="5"/>
      <c r="C43" s="5"/>
    </row>
    <row r="44" customFormat="false" ht="15" hidden="false" customHeight="true" outlineLevel="0" collapsed="false">
      <c r="A44" s="9" t="s">
        <v>46</v>
      </c>
      <c r="B44" s="10" t="n">
        <f aca="false">B33-B41</f>
        <v>255000</v>
      </c>
      <c r="C44" s="8" t="s">
        <v>47</v>
      </c>
    </row>
    <row r="45" customFormat="false" ht="21.75" hidden="false" customHeight="true" outlineLevel="0" collapsed="false">
      <c r="A45" s="9" t="s">
        <v>48</v>
      </c>
      <c r="B45" s="12" t="n">
        <f aca="false">IF(B21=0,0,B28/B21)</f>
        <v>0.728744939271255</v>
      </c>
      <c r="C45" s="8" t="s">
        <v>49</v>
      </c>
    </row>
    <row r="47" customFormat="false" ht="15" hidden="false" customHeight="true" outlineLevel="0" collapsed="false">
      <c r="A47" s="13" t="s">
        <v>50</v>
      </c>
    </row>
    <row r="48" customFormat="false" ht="15" hidden="false" customHeight="true" outlineLevel="0" collapsed="false">
      <c r="A48" s="6" t="s">
        <v>51</v>
      </c>
    </row>
    <row r="49" customFormat="false" ht="15" hidden="false" customHeight="true" outlineLevel="0" collapsed="false">
      <c r="A49" s="14" t="s">
        <v>52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2026-10-27T07:31:23Z</dcterms:created>
  <dc:creator>openpyxl</dc:creator>
  <dc:description/>
  <dc:language>en-US</dc:language>
  <cp:lastModifiedBy/>
  <dcterms:modified xsi:type="dcterms:W3CDTF">2026-10-27T07:31:30Z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